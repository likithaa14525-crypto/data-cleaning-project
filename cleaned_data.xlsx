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88A88409-01B8-4405-9701-314116D72A20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over Page" sheetId="3" r:id="rId1"/>
    <sheet name="Sheet1 (2)" sheetId="2" r:id="rId2"/>
    <sheet name="Sheet1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  <c r="J3" i="4"/>
  <c r="J4" i="4"/>
  <c r="J5" i="4"/>
  <c r="J6" i="4"/>
  <c r="J7" i="4"/>
  <c r="J8" i="4"/>
  <c r="J9" i="4"/>
  <c r="J10" i="4"/>
  <c r="J11" i="4"/>
  <c r="J12" i="4"/>
  <c r="J13" i="4"/>
  <c r="J14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2" i="4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<sst xmlns="http://schemas.openxmlformats.org/spreadsheetml/2006/main" count="303" uniqueCount="140">
  <si>
    <t>Data Cleaning</t>
  </si>
  <si>
    <r>
      <rPr>
        <sz val="16"/>
        <color theme="1"/>
        <rFont val="Calibri"/>
        <family val="2"/>
        <scheme val="minor"/>
      </rP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</si>
  <si>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</si>
  <si>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Made by Career Principles Ltd.</t>
  </si>
  <si>
    <t>Note</t>
  </si>
  <si>
    <t>All content is copyright material of Career Principles Ltd.</t>
  </si>
  <si>
    <t>This Excel model may not be reproduced or distributed by any means, including printing, 
screencapturing, or any other method without the prior permission of the publisher.</t>
  </si>
  <si>
    <t>Date</t>
  </si>
  <si>
    <t>Client</t>
  </si>
  <si>
    <t>Contact</t>
  </si>
  <si>
    <t>Department</t>
  </si>
  <si>
    <t>Payment</t>
  </si>
  <si>
    <t>Revenue</t>
  </si>
  <si>
    <t>Profit</t>
  </si>
  <si>
    <t>Profit Margin</t>
  </si>
  <si>
    <t>AMAZON.COM, INC. (XNAS:AMZN)</t>
  </si>
  <si>
    <t xml:space="preserve">     Bill SmITH</t>
  </si>
  <si>
    <t>Cloud Tech_Texas</t>
  </si>
  <si>
    <t>Transfer</t>
  </si>
  <si>
    <t>TESLA, INC. (XNAS:TSLA)</t>
  </si>
  <si>
    <t>KEN Singh</t>
  </si>
  <si>
    <t>Strategy_New York</t>
  </si>
  <si>
    <t>PayPal</t>
  </si>
  <si>
    <t>NETFLIX, INC. (XNAS:NFLX)</t>
  </si>
  <si>
    <t xml:space="preserve">  Harley        Fritz</t>
  </si>
  <si>
    <t>THE PROCTER &amp; GAMBLE COMPANY (XNYS:PG)</t>
  </si>
  <si>
    <t>Nyla Novak</t>
  </si>
  <si>
    <t>Operations_Florida</t>
  </si>
  <si>
    <t>THE GOLDMAN SACHS GROUP, INC. (XNYS:GS)</t>
  </si>
  <si>
    <t>David    Rasmussen</t>
  </si>
  <si>
    <t>Check</t>
  </si>
  <si>
    <t>JPMORGAN CHASE &amp; CO. (XNYS:JPM)</t>
  </si>
  <si>
    <t>IVAN HINEY</t>
  </si>
  <si>
    <t>MORGAN STANLEY (XNYS:MS)</t>
  </si>
  <si>
    <t>JONha Ma</t>
  </si>
  <si>
    <t>CITIGROUP INC. (XNYS:C)</t>
  </si>
  <si>
    <t xml:space="preserve">     Jordan Boone</t>
  </si>
  <si>
    <t>BANK OF AMERICA CORPORATION (XNYS:BAC)</t>
  </si>
  <si>
    <t>Kylee Townsend</t>
  </si>
  <si>
    <t>Card</t>
  </si>
  <si>
    <t>WALMART INC. (XNYS:WMT)</t>
  </si>
  <si>
    <t>Nora Rollins</t>
  </si>
  <si>
    <t>TARGET CORPORATION (XNYS:TGT)</t>
  </si>
  <si>
    <t>BRENDAN Wallace</t>
  </si>
  <si>
    <t>COSTCO WHOLESALE CORPORATION (XNAS:COST)</t>
  </si>
  <si>
    <t xml:space="preserve">     Conor Wise</t>
  </si>
  <si>
    <t>MCDONALD'S CORPORATION (XNYS:MCD)</t>
  </si>
  <si>
    <t>Steven     MIChael</t>
  </si>
  <si>
    <t>Big Data_California</t>
  </si>
  <si>
    <t>EXXON MOBIL CORPORATION (XNYS:XOM)</t>
  </si>
  <si>
    <t>Lucia Mckay</t>
  </si>
  <si>
    <t>VERIZON COMMUNICATIONS INC. (XNYS:VZ)</t>
  </si>
  <si>
    <t>JoSE   Roach</t>
  </si>
  <si>
    <t>THE HOME DEPOT, INC. (XNYS:HD)</t>
  </si>
  <si>
    <t>Franklin WRIGT</t>
  </si>
  <si>
    <t>CISCO SYSTEMS, INC. (XNAS:CSCO)</t>
  </si>
  <si>
    <t xml:space="preserve">   Alia       Thornton</t>
  </si>
  <si>
    <t>CHEVRON CORPORATION (XNYS:CVX)</t>
  </si>
  <si>
    <t>Denzel        Flores</t>
  </si>
  <si>
    <t>AT&amp;T INC. (XNYS:T)</t>
  </si>
  <si>
    <t>Bruno CordOVA</t>
  </si>
  <si>
    <t>INTEL CORPORATION (XNAS:INTC)</t>
  </si>
  <si>
    <t>jaylynn   napp</t>
  </si>
  <si>
    <t>GENERAL MOTORS COMPANY (XNYS:GM)</t>
  </si>
  <si>
    <t>Bruce RICH</t>
  </si>
  <si>
    <t>MICROSOFT CORPORATION (XNAS:MSFT)</t>
  </si>
  <si>
    <t xml:space="preserve">     Arturo Moore</t>
  </si>
  <si>
    <t>COMCAST CORPORATION (XNAS:CMCSA)</t>
  </si>
  <si>
    <t>Bryce     Carpenter</t>
  </si>
  <si>
    <t>DELL TECHNOLOGIES INC. (XNYS:DELL)</t>
  </si>
  <si>
    <t>Jaidyn ANDERSEN</t>
  </si>
  <si>
    <t>JOHNSON &amp; JOHNSON (XNYS:JNJ)</t>
  </si>
  <si>
    <t>MARK WALM</t>
  </si>
  <si>
    <t>FEDEX CORPORATION (XNYS:FDX)</t>
  </si>
  <si>
    <t>HARRY LEE</t>
  </si>
  <si>
    <t>GENERAL ELECTRIC COMPANY (XNYS:GE)</t>
  </si>
  <si>
    <t>JOSH JOHNSON</t>
  </si>
  <si>
    <t>LOCKHEED MARTIN CORPORATION (XNYS:LMT)</t>
  </si>
  <si>
    <t>Mik Naam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</si>
  <si>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</si>
  <si>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</si>
  <si>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</si>
  <si>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</si>
  <si>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</si>
  <si>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</si>
  <si>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</si>
  <si>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</si>
  <si>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</si>
  <si>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</si>
  <si>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</si>
  <si>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</si>
  <si>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</si>
  <si>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</si>
  <si>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</si>
  <si>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</si>
  <si>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</si>
  <si>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</si>
  <si>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</si>
  <si>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</si>
  <si>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</si>
  <si>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</si>
  <si>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</si>
  <si>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</si>
  <si>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</si>
  <si>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</si>
  <si>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</si>
  <si>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</si>
  <si>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</si>
  <si>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</si>
  <si>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</si>
  <si>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</si>
  <si>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</si>
  <si>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</si>
  <si>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</si>
  <si>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</si>
  <si>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</si>
  <si>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</si>
  <si>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</si>
  <si>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</si>
  <si>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</si>
  <si>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</si>
  <si>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</si>
  <si>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</si>
  <si>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</si>
  <si>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</si>
  <si>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</si>
  <si>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</si>
  <si>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</si>
  <si>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</si>
  <si>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</si>
  <si>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</si>
  <si>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</si>
  <si>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</si>
  <si>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</si>
  <si>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</si>
  <si>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</si>
  <si>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</si>
  <si>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</si>
  <si>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</si>
  <si>
    <t>Religion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</si>
</sst>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0.0%"/>
  </numFmts>
  <fonts count="11">
    <font>
      <sz val="12"/>
      <color theme="1"/>
      <name val="Calibri"/>
      <charset val="134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0"/>
      <color theme="10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9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0" fontId="0" fillId="2" borderId="0" xfId="0" applyFill="1"/>
    <xf numFmtId="0" fontId="0" fillId="2" borderId="0" xfId="0" applyFill="1" applyAlignment="1">
      <alignment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/>
    </xf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4" xfId="0" applyBorder="1" applyAlignment="1">
      <alignment vertical="center"/>
    </xf>
    <xf numFmtId="0" fontId="4" fillId="3" borderId="6" xfId="2" applyFont="1" applyFill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5" fillId="0" borderId="0" xfId="2" applyFont="1" applyFill="1" applyBorder="1"/>
    <xf numFmtId="0" fontId="6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10" fillId="4" borderId="0" xfId="0" applyFont="1" applyFill="1"/>
    <xf numFmtId="0" fontId="10" fillId="4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1730" y="1621790"/>
          <a:ext cx="3204845" cy="11137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6"/>
  <sheetViews>
    <sheetView showGridLines="0" topLeftCell="A5" zoomScale="115" zoomScaleNormal="115" workbookViewId="0">
      <selection activeCell="G6" sqref="G6"/>
    </sheetView>
  </sheetViews>
  <sheetFormatPr defaultColWidth="10.875" defaultRowHeight="15.75"/>
  <cols>
    <col min="1" max="1" width="10.875" style="5"/>
    <col min="2" max="2" width="8.5" style="5" customWidth="1"/>
    <col min="3" max="3" width="102.625" style="5" customWidth="1"/>
    <col min="4" max="4" width="9.5" style="5" customWidth="1"/>
    <col min="5" max="16384" width="10.875" style="5"/>
  </cols>
  <sheetData>
    <row r="3" spans="2:4" ht="92.25">
      <c r="B3" s="7"/>
      <c r="C3" s="8" t="s">
        <v>0</v>
      </c>
      <c r="D3" s="9"/>
    </row>
    <row r="4" spans="2:4" ht="54" customHeight="1">
      <c r="B4" s="10"/>
      <c r="C4" s="11"/>
      <c r="D4" s="12"/>
    </row>
    <row r="5" spans="2:4" ht="32.1" customHeight="1">
      <c r="B5" s="10"/>
      <c r="C5" s="11"/>
      <c r="D5" s="12"/>
    </row>
    <row r="6" spans="2:4">
      <c r="B6" s="10"/>
      <c r="C6"/>
      <c r="D6" s="12"/>
    </row>
    <row r="7" spans="2:4" ht="21">
      <c r="B7" s="10"/>
      <c r="C7" s="13" t="s">
        <v>1</v>
      </c>
      <c r="D7" s="12"/>
    </row>
    <row r="8" spans="2:4">
      <c r="B8" s="10"/>
      <c r="C8"/>
      <c r="D8" s="12"/>
    </row>
    <row r="9" spans="2:4" s="6" customFormat="1" ht="26.25">
      <c r="B9" s="14"/>
      <c r="C9" s="15" t="s">
        <v>2</v>
      </c>
      <c r="D9" s="16"/>
    </row>
    <row r="10" spans="2:4">
      <c r="B10" s="10"/>
      <c r="C10"/>
      <c r="D10" s="12"/>
    </row>
    <row r="11" spans="2:4" ht="18.75">
      <c r="B11" s="10"/>
      <c r="C11" s="17" t="s">
        <v>3</v>
      </c>
      <c r="D11" s="12"/>
    </row>
    <row r="12" spans="2:4">
      <c r="B12" s="10"/>
      <c r="C12"/>
      <c r="D12" s="12"/>
    </row>
    <row r="13" spans="2:4">
      <c r="B13" s="10"/>
      <c r="C13" s="18" t="s">
        <v>4</v>
      </c>
      <c r="D13" s="12"/>
    </row>
    <row r="14" spans="2:4">
      <c r="B14" s="10"/>
      <c r="C14" t="s">
        <v>5</v>
      </c>
      <c r="D14" s="12"/>
    </row>
    <row r="15" spans="2:4" ht="31.5">
      <c r="B15" s="10"/>
      <c r="C15" s="19" t="s">
        <v>6</v>
      </c>
      <c r="D15" s="12"/>
    </row>
    <row r="16" spans="2:4">
      <c r="B16" s="20"/>
      <c r="C16" s="21"/>
      <c r="D16" s="22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00000000-0004-0000-0000-000000000000}"/>
    <hyperlink ref="C11" r:id="rId2" xr:uid="{00000000-0004-0000-0000-000001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42"/>
  <sheetViews>
    <sheetView topLeftCell="A16" zoomScale="72" zoomScaleNormal="72" workbookViewId="0">
      <selection activeCell="A2" sqref="A2:I33"/>
    </sheetView>
  </sheetViews>
  <sheetFormatPr defaultColWidth="11" defaultRowHeight="15.75"/>
  <cols>
    <col min="1" max="1" width="6.625" customWidth="1"/>
    <col min="2" max="2" width="7.125" customWidth="1"/>
    <col min="3" max="3" width="11" customWidth="1"/>
    <col min="6" max="6" width="15" customWidth="1"/>
    <col min="7" max="7" width="6.625" customWidth="1"/>
    <col min="9" max="9" width="5.5" customWidth="1"/>
  </cols>
  <sheetData>
    <row r="2" spans="2:9">
      <c r="B2" t="s">
        <v>7</v>
      </c>
      <c r="C2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spans="2:9">
      <c r="B3" s="2">
        <v>45076</v>
      </c>
      <c r="C3" t="s">
        <v>15</v>
      </c>
      <c r="D3" t="s">
        <v>16</v>
      </c>
      <c r="E3" t="s">
        <v>17</v>
      </c>
      <c r="F3" t="s">
        <v>18</v>
      </c>
      <c r="G3" s="3">
        <v>4500</v>
      </c>
      <c r="H3" s="3">
        <v>598</v>
      </c>
      <c r="I3" s="4">
        <f>H3/G3</f>
        <v>0.132888888888889</v>
      </c>
    </row>
    <row r="4" spans="2:9">
      <c r="B4" s="2">
        <v>45076</v>
      </c>
      <c r="C4" t="s">
        <v>19</v>
      </c>
      <c r="D4" t="s">
        <v>20</v>
      </c>
      <c r="E4" t="s">
        <v>21</v>
      </c>
      <c r="F4" t="s">
        <v>22</v>
      </c>
      <c r="G4" s="3">
        <v>3800</v>
      </c>
      <c r="H4" s="3">
        <v>1045</v>
      </c>
      <c r="I4" s="4">
        <f t="shared" ref="I4:I32" si="0">H4/G4</f>
        <v>0.27500000000000002</v>
      </c>
    </row>
    <row r="5" spans="2:9">
      <c r="B5" s="2">
        <v>45076</v>
      </c>
      <c r="C5" t="s">
        <v>23</v>
      </c>
      <c r="D5" t="s">
        <v>24</v>
      </c>
      <c r="E5" t="s">
        <v>21</v>
      </c>
      <c r="G5" s="3">
        <v>3712.5</v>
      </c>
      <c r="H5" s="3">
        <v>1009</v>
      </c>
      <c r="I5" s="4">
        <f t="shared" si="0"/>
        <v>0.27178451178451202</v>
      </c>
    </row>
    <row r="6" spans="2:9">
      <c r="B6" s="2">
        <v>45076</v>
      </c>
      <c r="C6" t="s">
        <v>25</v>
      </c>
      <c r="D6" t="s">
        <v>26</v>
      </c>
      <c r="E6" t="s">
        <v>27</v>
      </c>
      <c r="G6" s="3"/>
      <c r="H6" s="3">
        <v>779</v>
      </c>
      <c r="I6" s="4" t="e">
        <f t="shared" si="0"/>
        <v>#DIV/0!</v>
      </c>
    </row>
    <row r="7" spans="2:9">
      <c r="B7" s="2">
        <v>45076</v>
      </c>
      <c r="C7" t="s">
        <v>28</v>
      </c>
      <c r="D7" t="s">
        <v>29</v>
      </c>
      <c r="E7" t="s">
        <v>27</v>
      </c>
      <c r="F7" t="s">
        <v>30</v>
      </c>
      <c r="G7" s="3">
        <v>5000</v>
      </c>
      <c r="H7" s="3">
        <v>684</v>
      </c>
      <c r="I7" s="4">
        <f t="shared" si="0"/>
        <v>0.1368</v>
      </c>
    </row>
    <row r="8" spans="2:9" ht="51" customHeight="1">
      <c r="B8" s="2">
        <v>45077</v>
      </c>
      <c r="C8" t="s">
        <v>31</v>
      </c>
      <c r="D8" t="s">
        <v>32</v>
      </c>
      <c r="E8" t="s">
        <v>17</v>
      </c>
      <c r="F8" t="s">
        <v>18</v>
      </c>
      <c r="G8" s="3">
        <v>6100</v>
      </c>
      <c r="H8" s="3">
        <v>544</v>
      </c>
      <c r="I8" s="4">
        <f t="shared" si="0"/>
        <v>8.9180327868852494E-2</v>
      </c>
    </row>
    <row r="9" spans="2:9">
      <c r="B9" s="2">
        <v>45077</v>
      </c>
      <c r="C9" t="s">
        <v>33</v>
      </c>
      <c r="D9" t="s">
        <v>34</v>
      </c>
      <c r="E9" t="s">
        <v>17</v>
      </c>
      <c r="F9" t="s">
        <v>18</v>
      </c>
      <c r="G9" s="3">
        <v>4625</v>
      </c>
      <c r="H9" s="3">
        <v>670</v>
      </c>
      <c r="I9" s="4">
        <f t="shared" si="0"/>
        <v>0.144864864864865</v>
      </c>
    </row>
    <row r="10" spans="2:9">
      <c r="B10" s="2">
        <v>45077</v>
      </c>
      <c r="C10" t="s">
        <v>35</v>
      </c>
      <c r="D10" t="s">
        <v>36</v>
      </c>
      <c r="E10" t="s">
        <v>17</v>
      </c>
      <c r="F10" t="s">
        <v>18</v>
      </c>
      <c r="G10" s="3">
        <v>3800</v>
      </c>
      <c r="H10" s="3">
        <v>2045</v>
      </c>
      <c r="I10" s="4">
        <f t="shared" si="0"/>
        <v>0.53815789473684195</v>
      </c>
    </row>
    <row r="11" spans="2:9">
      <c r="B11" s="2">
        <v>45077</v>
      </c>
      <c r="C11" t="s">
        <v>37</v>
      </c>
      <c r="D11" t="s">
        <v>38</v>
      </c>
      <c r="E11" t="s">
        <v>17</v>
      </c>
      <c r="F11" t="s">
        <v>39</v>
      </c>
      <c r="G11" s="3">
        <v>3600</v>
      </c>
      <c r="H11" s="3">
        <v>1564</v>
      </c>
      <c r="I11" s="4">
        <f t="shared" si="0"/>
        <v>0.43444444444444402</v>
      </c>
    </row>
    <row r="12" spans="2:9" ht="44.1" customHeight="1">
      <c r="B12" s="2">
        <v>45077</v>
      </c>
      <c r="C12" t="s">
        <v>40</v>
      </c>
      <c r="D12" t="s">
        <v>41</v>
      </c>
      <c r="E12" t="s">
        <v>17</v>
      </c>
      <c r="F12" t="s">
        <v>30</v>
      </c>
      <c r="G12" s="3">
        <v>5100</v>
      </c>
      <c r="H12" s="3">
        <v>1220</v>
      </c>
      <c r="I12" s="4">
        <f t="shared" si="0"/>
        <v>0.23921568627451001</v>
      </c>
    </row>
    <row r="13" spans="2:9">
      <c r="B13" s="2">
        <v>45077</v>
      </c>
      <c r="C13" t="s">
        <v>42</v>
      </c>
      <c r="D13" t="s">
        <v>43</v>
      </c>
      <c r="E13" t="s">
        <v>17</v>
      </c>
      <c r="F13" t="s">
        <v>30</v>
      </c>
      <c r="G13" s="3">
        <v>4750</v>
      </c>
      <c r="H13" s="3">
        <v>1435</v>
      </c>
      <c r="I13" s="4">
        <f t="shared" si="0"/>
        <v>0.30210526315789499</v>
      </c>
    </row>
    <row r="14" spans="2:9">
      <c r="B14" s="2">
        <v>45077</v>
      </c>
      <c r="C14" t="s">
        <v>44</v>
      </c>
      <c r="D14" t="s">
        <v>45</v>
      </c>
      <c r="E14" t="s">
        <v>27</v>
      </c>
      <c r="F14" t="s">
        <v>18</v>
      </c>
      <c r="G14" s="3">
        <v>6000</v>
      </c>
      <c r="H14" s="3">
        <v>998</v>
      </c>
      <c r="I14" s="4">
        <f t="shared" si="0"/>
        <v>0.166333333333333</v>
      </c>
    </row>
    <row r="15" spans="2:9">
      <c r="B15" s="2">
        <v>45077</v>
      </c>
      <c r="C15" t="s">
        <v>46</v>
      </c>
      <c r="D15" t="s">
        <v>47</v>
      </c>
      <c r="E15" t="s">
        <v>48</v>
      </c>
      <c r="F15" t="s">
        <v>30</v>
      </c>
      <c r="G15" s="3">
        <v>4500</v>
      </c>
      <c r="H15" s="3">
        <v>780</v>
      </c>
      <c r="I15" s="4">
        <f t="shared" si="0"/>
        <v>0.17333333333333301</v>
      </c>
    </row>
    <row r="16" spans="2:9">
      <c r="B16" s="2">
        <v>45078</v>
      </c>
      <c r="C16" t="s">
        <v>49</v>
      </c>
      <c r="D16" t="s">
        <v>50</v>
      </c>
      <c r="E16" t="s">
        <v>48</v>
      </c>
      <c r="F16" t="s">
        <v>39</v>
      </c>
      <c r="G16" s="3"/>
      <c r="H16" s="3">
        <v>1044</v>
      </c>
      <c r="I16" s="4" t="e">
        <f t="shared" si="0"/>
        <v>#DIV/0!</v>
      </c>
    </row>
    <row r="17" spans="2:9">
      <c r="B17" s="2">
        <v>45078</v>
      </c>
      <c r="C17" t="s">
        <v>51</v>
      </c>
      <c r="D17" t="s">
        <v>52</v>
      </c>
      <c r="E17" t="s">
        <v>48</v>
      </c>
      <c r="F17" t="s">
        <v>18</v>
      </c>
      <c r="G17" s="3">
        <v>3712.5</v>
      </c>
      <c r="H17" s="3">
        <v>1222</v>
      </c>
      <c r="I17" s="4">
        <f t="shared" si="0"/>
        <v>0.32915824915824898</v>
      </c>
    </row>
    <row r="18" spans="2:9" ht="38.1" customHeight="1">
      <c r="B18" s="2">
        <v>45078</v>
      </c>
      <c r="C18" t="s">
        <v>53</v>
      </c>
      <c r="D18" t="s">
        <v>54</v>
      </c>
      <c r="E18" t="s">
        <v>48</v>
      </c>
      <c r="F18" t="s">
        <v>18</v>
      </c>
      <c r="G18" s="3">
        <v>4950</v>
      </c>
      <c r="H18" s="3">
        <v>1065</v>
      </c>
      <c r="I18" s="4">
        <f t="shared" si="0"/>
        <v>0.21515151515151501</v>
      </c>
    </row>
    <row r="19" spans="2:9">
      <c r="B19" s="2">
        <v>45078</v>
      </c>
      <c r="C19" t="s">
        <v>55</v>
      </c>
      <c r="D19" t="s">
        <v>56</v>
      </c>
      <c r="E19" t="s">
        <v>27</v>
      </c>
      <c r="F19" t="s">
        <v>18</v>
      </c>
      <c r="G19" s="3">
        <v>4750</v>
      </c>
      <c r="H19" s="3">
        <v>810</v>
      </c>
      <c r="I19" s="4">
        <f t="shared" si="0"/>
        <v>0.170526315789474</v>
      </c>
    </row>
    <row r="20" spans="2:9" ht="12" customHeight="1">
      <c r="B20" s="2">
        <v>45078</v>
      </c>
      <c r="C20" t="s">
        <v>57</v>
      </c>
      <c r="D20" t="s">
        <v>58</v>
      </c>
      <c r="E20" t="s">
        <v>27</v>
      </c>
      <c r="F20" t="s">
        <v>18</v>
      </c>
      <c r="G20" s="3">
        <v>7320</v>
      </c>
      <c r="H20" s="3">
        <v>933</v>
      </c>
      <c r="I20" s="4">
        <f t="shared" si="0"/>
        <v>0.12745901639344301</v>
      </c>
    </row>
    <row r="21" spans="2:9">
      <c r="B21" s="2">
        <v>45077</v>
      </c>
      <c r="C21" t="s">
        <v>44</v>
      </c>
      <c r="D21" t="s">
        <v>45</v>
      </c>
      <c r="E21" t="s">
        <v>27</v>
      </c>
      <c r="F21" t="s">
        <v>18</v>
      </c>
      <c r="G21" s="3">
        <v>6000</v>
      </c>
      <c r="H21" s="3">
        <v>998</v>
      </c>
      <c r="I21" s="4">
        <f t="shared" ref="I21:I22" si="1">H21/G21</f>
        <v>0.166333333333333</v>
      </c>
    </row>
    <row r="22" spans="2:9">
      <c r="B22" s="2">
        <v>45077</v>
      </c>
      <c r="C22" t="s">
        <v>46</v>
      </c>
      <c r="D22" t="s">
        <v>47</v>
      </c>
      <c r="E22" t="s">
        <v>48</v>
      </c>
      <c r="F22" t="s">
        <v>30</v>
      </c>
      <c r="G22" s="3">
        <v>4500</v>
      </c>
      <c r="H22" s="3">
        <v>780</v>
      </c>
      <c r="I22" s="4">
        <f t="shared" si="1"/>
        <v>0.17333333333333301</v>
      </c>
    </row>
    <row r="23" spans="2:9" ht="8.1" customHeight="1">
      <c r="B23" s="2">
        <v>45078</v>
      </c>
      <c r="C23" t="s">
        <v>59</v>
      </c>
      <c r="D23" t="s">
        <v>60</v>
      </c>
      <c r="E23" t="s">
        <v>48</v>
      </c>
      <c r="F23" t="s">
        <v>18</v>
      </c>
      <c r="G23" s="3">
        <v>5087.5</v>
      </c>
      <c r="H23" s="3">
        <v>655</v>
      </c>
      <c r="I23" s="4">
        <f t="shared" si="0"/>
        <v>0.128746928746929</v>
      </c>
    </row>
    <row r="24" spans="2:9" ht="96" customHeight="1">
      <c r="B24" s="2">
        <v>45078</v>
      </c>
      <c r="C24" t="s">
        <v>61</v>
      </c>
      <c r="D24" t="s">
        <v>62</v>
      </c>
      <c r="E24" t="s">
        <v>48</v>
      </c>
      <c r="F24" t="s">
        <v>18</v>
      </c>
      <c r="G24" s="3">
        <v>4500</v>
      </c>
      <c r="H24" s="3">
        <v>722</v>
      </c>
      <c r="I24" s="4">
        <f t="shared" si="0"/>
        <v>0.160444444444444</v>
      </c>
    </row>
    <row r="25" spans="2:9">
      <c r="B25" s="2">
        <v>45078</v>
      </c>
      <c r="C25" t="s">
        <v>63</v>
      </c>
      <c r="D25" t="s">
        <v>64</v>
      </c>
      <c r="E25" t="s">
        <v>48</v>
      </c>
      <c r="F25" t="s">
        <v>39</v>
      </c>
      <c r="G25" s="3">
        <v>4250</v>
      </c>
      <c r="H25" s="3">
        <v>901</v>
      </c>
      <c r="I25" s="4">
        <f t="shared" si="0"/>
        <v>0.21199999999999999</v>
      </c>
    </row>
    <row r="26" spans="2:9">
      <c r="B26" s="2">
        <v>45079</v>
      </c>
      <c r="C26" t="s">
        <v>65</v>
      </c>
      <c r="D26" t="s">
        <v>66</v>
      </c>
      <c r="E26" t="s">
        <v>48</v>
      </c>
      <c r="F26" t="s">
        <v>22</v>
      </c>
      <c r="G26" s="3">
        <v>5250</v>
      </c>
      <c r="H26" s="3">
        <v>1349</v>
      </c>
      <c r="I26" s="4">
        <f t="shared" si="0"/>
        <v>0.25695238095238099</v>
      </c>
    </row>
    <row r="27" spans="2:9">
      <c r="B27" s="2">
        <v>45079</v>
      </c>
      <c r="C27" t="s">
        <v>67</v>
      </c>
      <c r="D27" t="s">
        <v>68</v>
      </c>
      <c r="E27" t="s">
        <v>21</v>
      </c>
      <c r="F27" t="s">
        <v>22</v>
      </c>
      <c r="G27" s="3">
        <v>6500</v>
      </c>
      <c r="H27" s="3">
        <v>1288</v>
      </c>
      <c r="I27" s="4">
        <f t="shared" si="0"/>
        <v>0.19815384615384601</v>
      </c>
    </row>
    <row r="28" spans="2:9">
      <c r="B28" s="2">
        <v>45079</v>
      </c>
      <c r="C28" t="s">
        <v>69</v>
      </c>
      <c r="D28" t="s">
        <v>70</v>
      </c>
      <c r="E28" t="s">
        <v>21</v>
      </c>
      <c r="F28" t="s">
        <v>22</v>
      </c>
      <c r="G28" s="3">
        <v>7500</v>
      </c>
      <c r="H28" s="3">
        <v>1664</v>
      </c>
      <c r="I28" s="4">
        <f t="shared" si="0"/>
        <v>0.22186666666666699</v>
      </c>
    </row>
    <row r="29" spans="2:9">
      <c r="B29" s="2">
        <v>45079</v>
      </c>
      <c r="C29" t="s">
        <v>71</v>
      </c>
      <c r="D29" t="s">
        <v>72</v>
      </c>
      <c r="E29" t="s">
        <v>21</v>
      </c>
      <c r="F29" t="s">
        <v>18</v>
      </c>
      <c r="G29" s="3">
        <v>5500</v>
      </c>
      <c r="H29" s="3">
        <v>1320</v>
      </c>
      <c r="I29" s="4">
        <f t="shared" si="0"/>
        <v>0.24</v>
      </c>
    </row>
    <row r="30" spans="2:9">
      <c r="B30" s="2">
        <v>45079</v>
      </c>
      <c r="C30" t="s">
        <v>73</v>
      </c>
      <c r="D30" t="s">
        <v>74</v>
      </c>
      <c r="E30" t="s">
        <v>21</v>
      </c>
      <c r="F30" t="s">
        <v>18</v>
      </c>
      <c r="G30" s="3">
        <v>4625</v>
      </c>
      <c r="H30" s="3">
        <v>1001</v>
      </c>
      <c r="I30" s="4">
        <f t="shared" si="0"/>
        <v>0.21643243243243199</v>
      </c>
    </row>
    <row r="31" spans="2:9">
      <c r="B31" s="2">
        <v>45079</v>
      </c>
      <c r="C31" t="s">
        <v>75</v>
      </c>
      <c r="D31" t="s">
        <v>76</v>
      </c>
      <c r="E31" t="s">
        <v>21</v>
      </c>
      <c r="F31" t="s">
        <v>18</v>
      </c>
      <c r="G31" s="3">
        <v>4500</v>
      </c>
      <c r="H31" s="3">
        <v>960</v>
      </c>
      <c r="I31" s="4">
        <f t="shared" si="0"/>
        <v>0.21333333333333299</v>
      </c>
    </row>
    <row r="32" spans="2:9">
      <c r="B32" s="2">
        <v>45079</v>
      </c>
      <c r="C32" t="s">
        <v>77</v>
      </c>
      <c r="D32" t="s">
        <v>78</v>
      </c>
      <c r="E32" t="s">
        <v>21</v>
      </c>
      <c r="F32" t="s">
        <v>39</v>
      </c>
      <c r="G32" s="3">
        <v>5400</v>
      </c>
      <c r="H32" s="3">
        <v>540</v>
      </c>
      <c r="I32" s="4">
        <f t="shared" si="0"/>
        <v>0.1</v>
      </c>
    </row>
    <row r="33" spans="2:9">
      <c r="B33" s="2">
        <v>45076</v>
      </c>
      <c r="C33" t="s">
        <v>28</v>
      </c>
      <c r="D33" t="s">
        <v>29</v>
      </c>
      <c r="E33" t="s">
        <v>27</v>
      </c>
      <c r="F33" t="s">
        <v>30</v>
      </c>
      <c r="G33" s="3">
        <v>5000</v>
      </c>
      <c r="H33" s="3">
        <v>684</v>
      </c>
      <c r="I33" s="4">
        <f t="shared" ref="I33" si="2">H33/G33</f>
        <v>0.1368</v>
      </c>
    </row>
    <row r="34" spans="2:9">
      <c r="G34" s="3"/>
    </row>
    <row r="35" spans="2:9">
      <c r="G35" s="3"/>
    </row>
    <row r="36" spans="2:9">
      <c r="G36" s="3"/>
    </row>
    <row r="37" spans="2:9">
      <c r="G37" s="3"/>
    </row>
    <row r="38" spans="2:9">
      <c r="G38" s="3"/>
    </row>
    <row r="39" spans="2:9">
      <c r="G39" s="3"/>
    </row>
    <row r="40" spans="2:9">
      <c r="G40" s="3"/>
    </row>
    <row r="41" spans="2:9">
      <c r="G41" s="3"/>
    </row>
    <row r="42" spans="2:9">
      <c r="G42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35"/>
  <sheetViews>
    <sheetView showGridLines="0" tabSelected="1" zoomScaleNormal="100" workbookViewId="0">
      <selection activeCell="K8" sqref="K8"/>
    </sheetView>
  </sheetViews>
  <sheetFormatPr defaultColWidth="9" defaultRowHeight="15.75"/>
  <cols>
    <col min="2" max="2" width="9.5" customWidth="1"/>
    <col min="3" max="3" width="29.375" customWidth="1"/>
    <col min="4" max="4" width="16.875" customWidth="1"/>
    <col min="5" max="5" width="16.875" bestFit="1" customWidth="1"/>
    <col min="6" max="6" width="16.875" customWidth="1"/>
    <col min="7" max="7" width="11" customWidth="1"/>
    <col min="8" max="8" width="9.375" customWidth="1"/>
    <col min="9" max="9" width="12.25" customWidth="1"/>
    <col min="10" max="10" width="11.5" bestFit="1" customWidth="1"/>
  </cols>
  <sheetData>
    <row r="1" spans="2:10">
      <c r="B1" s="23" t="s">
        <v>7</v>
      </c>
      <c r="C1" s="24" t="s">
        <v>8</v>
      </c>
      <c r="D1" s="24" t="s">
        <v>9</v>
      </c>
      <c r="E1" s="24" t="s">
        <v>10</v>
      </c>
      <c r="F1" s="24" t="s">
        <v>139</v>
      </c>
      <c r="G1" s="24" t="s">
        <v>11</v>
      </c>
      <c r="H1" s="24" t="s">
        <v>12</v>
      </c>
      <c r="I1" s="24" t="s">
        <v>13</v>
      </c>
      <c r="J1" s="24" t="s">
        <v>14</v>
      </c>
    </row>
    <row r="2" spans="2:10">
      <c r="B2" s="2">
        <v>45076</v>
      </c>
      <c r="C2" t="s">
        <v>79</v>
      </c>
      <c r="D2" t="s">
        <v>107</v>
      </c>
      <c r="E2" t="s">
        <v>130</v>
      </c>
      <c r="F2" t="s">
        <v>131</v>
      </c>
      <c r="G2" t="s">
        <v>18</v>
      </c>
      <c r="H2" s="3">
        <v>4500</v>
      </c>
      <c r="I2" s="3">
        <v>598</v>
      </c>
      <c r="J2" s="4">
        <f>IFERROR(I2/H2,"NA")</f>
        <v>0.13288888888888889</v>
      </c>
    </row>
    <row r="3" spans="2:10">
      <c r="B3" s="2">
        <v>45076</v>
      </c>
      <c r="C3" t="s">
        <v>80</v>
      </c>
      <c r="D3" t="s">
        <v>108</v>
      </c>
      <c r="E3" t="s">
        <v>132</v>
      </c>
      <c r="F3" t="s">
        <v>133</v>
      </c>
      <c r="G3" t="s">
        <v>22</v>
      </c>
      <c r="H3" s="3">
        <v>3800</v>
      </c>
      <c r="I3" s="3">
        <v>1045</v>
      </c>
      <c r="J3" s="4">
        <f t="shared" ref="J3:J32" si="0">IFERROR(I3/H3,"NA")</f>
        <v>0.27500000000000002</v>
      </c>
    </row>
    <row r="4" spans="2:10">
      <c r="B4" s="2">
        <v>45076</v>
      </c>
      <c r="C4" t="s">
        <v>81</v>
      </c>
      <c r="D4" t="s">
        <v>109</v>
      </c>
      <c r="E4" t="s">
        <v>132</v>
      </c>
      <c r="F4" t="s">
        <v>133</v>
      </c>
      <c r="G4" t="s">
        <v>138</v>
      </c>
      <c r="H4" s="3">
        <v>3712.5</v>
      </c>
      <c r="I4" s="3">
        <v>1009</v>
      </c>
      <c r="J4" s="4">
        <f t="shared" si="0"/>
        <v>0.2717845117845118</v>
      </c>
    </row>
    <row r="5" spans="2:10">
      <c r="B5" s="2">
        <v>45076</v>
      </c>
      <c r="C5" t="s">
        <v>82</v>
      </c>
      <c r="D5" t="s">
        <v>26</v>
      </c>
      <c r="E5" t="s">
        <v>134</v>
      </c>
      <c r="F5" t="s">
        <v>135</v>
      </c>
      <c r="G5" t="s">
        <v>138</v>
      </c>
      <c r="H5" s="3" t="s">
        <v>138</v>
      </c>
      <c r="I5" s="3">
        <v>779</v>
      </c>
      <c r="J5" s="4" t="str">
        <f t="shared" si="0"/>
        <v>NA</v>
      </c>
    </row>
    <row r="6" spans="2:10">
      <c r="B6" s="2">
        <v>45076</v>
      </c>
      <c r="C6" t="s">
        <v>83</v>
      </c>
      <c r="D6" t="s">
        <v>110</v>
      </c>
      <c r="E6" t="s">
        <v>134</v>
      </c>
      <c r="F6" t="s">
        <v>135</v>
      </c>
      <c r="G6" t="s">
        <v>30</v>
      </c>
      <c r="H6" s="3">
        <v>5000</v>
      </c>
      <c r="I6" s="3">
        <v>684</v>
      </c>
      <c r="J6" s="4">
        <f t="shared" si="0"/>
        <v>0.1368</v>
      </c>
    </row>
    <row r="7" spans="2:10">
      <c r="B7" s="2">
        <v>45077</v>
      </c>
      <c r="C7" t="s">
        <v>84</v>
      </c>
      <c r="D7" t="s">
        <v>111</v>
      </c>
      <c r="E7" t="s">
        <v>130</v>
      </c>
      <c r="F7" t="s">
        <v>131</v>
      </c>
      <c r="G7" t="s">
        <v>18</v>
      </c>
      <c r="H7" s="3">
        <v>6100</v>
      </c>
      <c r="I7" s="3">
        <v>544</v>
      </c>
      <c r="J7" s="4">
        <f t="shared" si="0"/>
        <v>8.9180327868852466E-2</v>
      </c>
    </row>
    <row r="8" spans="2:10">
      <c r="B8" s="2">
        <v>45077</v>
      </c>
      <c r="C8" t="s">
        <v>85</v>
      </c>
      <c r="D8" t="s">
        <v>112</v>
      </c>
      <c r="E8" t="s">
        <v>130</v>
      </c>
      <c r="F8" t="s">
        <v>131</v>
      </c>
      <c r="G8" t="s">
        <v>18</v>
      </c>
      <c r="H8" s="3">
        <v>4625</v>
      </c>
      <c r="I8" s="3">
        <v>670</v>
      </c>
      <c r="J8" s="4">
        <f t="shared" si="0"/>
        <v>0.14486486486486486</v>
      </c>
    </row>
    <row r="9" spans="2:10">
      <c r="B9" s="2">
        <v>45077</v>
      </c>
      <c r="C9" t="s">
        <v>86</v>
      </c>
      <c r="D9" t="s">
        <v>113</v>
      </c>
      <c r="E9" t="s">
        <v>130</v>
      </c>
      <c r="F9" t="s">
        <v>131</v>
      </c>
      <c r="G9" t="s">
        <v>18</v>
      </c>
      <c r="H9" s="3">
        <v>3800</v>
      </c>
      <c r="I9" s="3">
        <v>2045</v>
      </c>
      <c r="J9" s="4">
        <f t="shared" si="0"/>
        <v>0.53815789473684206</v>
      </c>
    </row>
    <row r="10" spans="2:10">
      <c r="B10" s="2">
        <v>45077</v>
      </c>
      <c r="C10" t="s">
        <v>87</v>
      </c>
      <c r="D10" t="s">
        <v>38</v>
      </c>
      <c r="E10" t="s">
        <v>130</v>
      </c>
      <c r="F10" t="s">
        <v>131</v>
      </c>
      <c r="G10" t="s">
        <v>39</v>
      </c>
      <c r="H10" s="3">
        <v>3600</v>
      </c>
      <c r="I10" s="3">
        <v>1564</v>
      </c>
      <c r="J10" s="4">
        <f>IFERROR(I10/H10,"NA")</f>
        <v>0.43444444444444447</v>
      </c>
    </row>
    <row r="11" spans="2:10">
      <c r="B11" s="2">
        <v>45077</v>
      </c>
      <c r="C11" t="s">
        <v>88</v>
      </c>
      <c r="D11" t="s">
        <v>41</v>
      </c>
      <c r="E11" t="s">
        <v>130</v>
      </c>
      <c r="F11" t="s">
        <v>131</v>
      </c>
      <c r="G11" t="s">
        <v>30</v>
      </c>
      <c r="H11" s="3">
        <v>5100</v>
      </c>
      <c r="I11" s="3">
        <v>1220</v>
      </c>
      <c r="J11" s="4">
        <f t="shared" si="0"/>
        <v>0.23921568627450981</v>
      </c>
    </row>
    <row r="12" spans="2:10">
      <c r="B12" s="2">
        <v>45077</v>
      </c>
      <c r="C12" t="s">
        <v>89</v>
      </c>
      <c r="D12" t="s">
        <v>114</v>
      </c>
      <c r="E12" t="s">
        <v>130</v>
      </c>
      <c r="F12" t="s">
        <v>131</v>
      </c>
      <c r="G12" t="s">
        <v>30</v>
      </c>
      <c r="H12" s="3">
        <v>4750</v>
      </c>
      <c r="I12" s="3">
        <v>1435</v>
      </c>
      <c r="J12" s="4">
        <f t="shared" si="0"/>
        <v>0.30210526315789471</v>
      </c>
    </row>
    <row r="13" spans="2:10">
      <c r="B13" s="2">
        <v>45077</v>
      </c>
      <c r="C13" t="s">
        <v>90</v>
      </c>
      <c r="D13" t="s">
        <v>115</v>
      </c>
      <c r="E13" t="s">
        <v>134</v>
      </c>
      <c r="F13" t="s">
        <v>135</v>
      </c>
      <c r="G13" t="s">
        <v>18</v>
      </c>
      <c r="H13" s="3">
        <v>6000</v>
      </c>
      <c r="I13" s="3">
        <v>998</v>
      </c>
      <c r="J13" s="4">
        <f t="shared" si="0"/>
        <v>0.16633333333333333</v>
      </c>
    </row>
    <row r="14" spans="2:10">
      <c r="B14" s="2">
        <v>45077</v>
      </c>
      <c r="C14" t="s">
        <v>91</v>
      </c>
      <c r="D14" t="s">
        <v>116</v>
      </c>
      <c r="E14" t="s">
        <v>136</v>
      </c>
      <c r="F14" t="s">
        <v>137</v>
      </c>
      <c r="G14" t="s">
        <v>30</v>
      </c>
      <c r="H14" s="3">
        <v>4500</v>
      </c>
      <c r="I14" s="3">
        <v>780</v>
      </c>
      <c r="J14" s="4">
        <f t="shared" si="0"/>
        <v>0.17333333333333334</v>
      </c>
    </row>
    <row r="15" spans="2:10">
      <c r="B15" s="2">
        <v>45078</v>
      </c>
      <c r="C15" t="s">
        <v>92</v>
      </c>
      <c r="D15" t="s">
        <v>50</v>
      </c>
      <c r="E15" t="s">
        <v>136</v>
      </c>
      <c r="F15" t="s">
        <v>137</v>
      </c>
      <c r="G15" t="s">
        <v>39</v>
      </c>
      <c r="H15" s="3" t="s">
        <v>138</v>
      </c>
      <c r="I15" s="3">
        <v>1044</v>
      </c>
      <c r="J15" s="4" t="str">
        <f t="shared" si="0"/>
        <v>NA</v>
      </c>
    </row>
    <row r="16" spans="2:10">
      <c r="B16" s="2">
        <v>45078</v>
      </c>
      <c r="C16" t="s">
        <v>93</v>
      </c>
      <c r="D16" t="s">
        <v>117</v>
      </c>
      <c r="E16" t="s">
        <v>136</v>
      </c>
      <c r="F16" t="s">
        <v>137</v>
      </c>
      <c r="G16" t="s">
        <v>18</v>
      </c>
      <c r="H16" s="3">
        <v>3712.5</v>
      </c>
      <c r="I16" s="3">
        <v>1222</v>
      </c>
      <c r="J16" s="4">
        <f t="shared" si="0"/>
        <v>0.32915824915824915</v>
      </c>
    </row>
    <row r="17" spans="2:10">
      <c r="B17" s="2">
        <v>45078</v>
      </c>
      <c r="C17" t="s">
        <v>94</v>
      </c>
      <c r="D17" t="s">
        <v>118</v>
      </c>
      <c r="E17" t="s">
        <v>136</v>
      </c>
      <c r="F17" t="s">
        <v>137</v>
      </c>
      <c r="G17" t="s">
        <v>18</v>
      </c>
      <c r="H17" s="3">
        <v>4950</v>
      </c>
      <c r="I17" s="3">
        <v>1065</v>
      </c>
      <c r="J17" s="4">
        <f t="shared" si="0"/>
        <v>0.21515151515151515</v>
      </c>
    </row>
    <row r="18" spans="2:10">
      <c r="B18" s="2">
        <v>45078</v>
      </c>
      <c r="C18" t="s">
        <v>95</v>
      </c>
      <c r="D18" t="s">
        <v>119</v>
      </c>
      <c r="E18" t="s">
        <v>134</v>
      </c>
      <c r="F18" t="s">
        <v>135</v>
      </c>
      <c r="G18" t="s">
        <v>18</v>
      </c>
      <c r="H18" s="3">
        <v>4750</v>
      </c>
      <c r="I18" s="3">
        <v>810</v>
      </c>
      <c r="J18" s="4">
        <f t="shared" si="0"/>
        <v>0.17052631578947369</v>
      </c>
    </row>
    <row r="19" spans="2:10">
      <c r="B19" s="2">
        <v>45078</v>
      </c>
      <c r="C19" t="s">
        <v>96</v>
      </c>
      <c r="D19" t="s">
        <v>120</v>
      </c>
      <c r="E19" t="s">
        <v>134</v>
      </c>
      <c r="F19" t="s">
        <v>135</v>
      </c>
      <c r="G19" t="s">
        <v>18</v>
      </c>
      <c r="H19" s="3">
        <v>7320</v>
      </c>
      <c r="I19" s="3">
        <v>933</v>
      </c>
      <c r="J19" s="4">
        <f t="shared" si="0"/>
        <v>0.12745901639344262</v>
      </c>
    </row>
    <row r="20" spans="2:10">
      <c r="B20" s="2">
        <v>45077</v>
      </c>
      <c r="C20" t="s">
        <v>90</v>
      </c>
      <c r="D20" t="s">
        <v>115</v>
      </c>
      <c r="E20" t="s">
        <v>134</v>
      </c>
      <c r="F20" t="s">
        <v>135</v>
      </c>
      <c r="G20" t="s">
        <v>18</v>
      </c>
      <c r="H20" s="3">
        <v>6000</v>
      </c>
      <c r="I20" s="3">
        <v>998</v>
      </c>
      <c r="J20" s="4">
        <f t="shared" si="0"/>
        <v>0.16633333333333333</v>
      </c>
    </row>
    <row r="21" spans="2:10">
      <c r="B21" s="2">
        <v>45077</v>
      </c>
      <c r="C21" t="s">
        <v>91</v>
      </c>
      <c r="D21" t="s">
        <v>116</v>
      </c>
      <c r="E21" t="s">
        <v>136</v>
      </c>
      <c r="F21" t="s">
        <v>137</v>
      </c>
      <c r="G21" t="s">
        <v>30</v>
      </c>
      <c r="H21" s="3">
        <v>4500</v>
      </c>
      <c r="I21" s="3">
        <v>780</v>
      </c>
      <c r="J21" s="4">
        <f t="shared" si="0"/>
        <v>0.17333333333333334</v>
      </c>
    </row>
    <row r="22" spans="2:10">
      <c r="B22" s="2">
        <v>45078</v>
      </c>
      <c r="C22" t="s">
        <v>97</v>
      </c>
      <c r="D22" t="s">
        <v>121</v>
      </c>
      <c r="E22" t="s">
        <v>136</v>
      </c>
      <c r="F22" t="s">
        <v>137</v>
      </c>
      <c r="G22" t="s">
        <v>18</v>
      </c>
      <c r="H22" s="3">
        <v>5087.5</v>
      </c>
      <c r="I22" s="3">
        <v>655</v>
      </c>
      <c r="J22" s="4">
        <f t="shared" si="0"/>
        <v>0.12874692874692875</v>
      </c>
    </row>
    <row r="23" spans="2:10">
      <c r="B23" s="2">
        <v>45078</v>
      </c>
      <c r="C23" t="s">
        <v>98</v>
      </c>
      <c r="D23" t="s">
        <v>122</v>
      </c>
      <c r="E23" t="s">
        <v>136</v>
      </c>
      <c r="F23" t="s">
        <v>137</v>
      </c>
      <c r="G23" t="s">
        <v>18</v>
      </c>
      <c r="H23" s="3">
        <v>4500</v>
      </c>
      <c r="I23" s="3">
        <v>722</v>
      </c>
      <c r="J23" s="4">
        <f t="shared" si="0"/>
        <v>0.16044444444444445</v>
      </c>
    </row>
    <row r="24" spans="2:10">
      <c r="B24" s="2">
        <v>45078</v>
      </c>
      <c r="C24" t="s">
        <v>99</v>
      </c>
      <c r="D24" t="s">
        <v>123</v>
      </c>
      <c r="E24" t="s">
        <v>136</v>
      </c>
      <c r="F24" t="s">
        <v>137</v>
      </c>
      <c r="G24" t="s">
        <v>39</v>
      </c>
      <c r="H24" s="3">
        <v>4250</v>
      </c>
      <c r="I24" s="3">
        <v>901</v>
      </c>
      <c r="J24" s="4">
        <f t="shared" si="0"/>
        <v>0.21199999999999999</v>
      </c>
    </row>
    <row r="25" spans="2:10">
      <c r="B25" s="2">
        <v>45079</v>
      </c>
      <c r="C25" t="s">
        <v>100</v>
      </c>
      <c r="D25" t="s">
        <v>124</v>
      </c>
      <c r="E25" t="s">
        <v>136</v>
      </c>
      <c r="F25" t="s">
        <v>137</v>
      </c>
      <c r="G25" t="s">
        <v>22</v>
      </c>
      <c r="H25" s="3">
        <v>5250</v>
      </c>
      <c r="I25" s="3">
        <v>1349</v>
      </c>
      <c r="J25" s="4">
        <f t="shared" si="0"/>
        <v>0.25695238095238093</v>
      </c>
    </row>
    <row r="26" spans="2:10">
      <c r="B26" s="2">
        <v>45079</v>
      </c>
      <c r="C26" t="s">
        <v>101</v>
      </c>
      <c r="D26" t="s">
        <v>125</v>
      </c>
      <c r="E26" t="s">
        <v>132</v>
      </c>
      <c r="F26" t="s">
        <v>133</v>
      </c>
      <c r="G26" t="s">
        <v>22</v>
      </c>
      <c r="H26" s="3">
        <v>6500</v>
      </c>
      <c r="I26" s="3">
        <v>1288</v>
      </c>
      <c r="J26" s="4">
        <f t="shared" si="0"/>
        <v>0.19815384615384615</v>
      </c>
    </row>
    <row r="27" spans="2:10">
      <c r="B27" s="2">
        <v>45079</v>
      </c>
      <c r="C27" t="s">
        <v>102</v>
      </c>
      <c r="D27" t="s">
        <v>126</v>
      </c>
      <c r="E27" t="s">
        <v>132</v>
      </c>
      <c r="F27" t="s">
        <v>133</v>
      </c>
      <c r="G27" t="s">
        <v>22</v>
      </c>
      <c r="H27" s="3">
        <v>7500</v>
      </c>
      <c r="I27" s="3">
        <v>1664</v>
      </c>
      <c r="J27" s="4">
        <f t="shared" si="0"/>
        <v>0.22186666666666666</v>
      </c>
    </row>
    <row r="28" spans="2:10">
      <c r="B28" s="2">
        <v>45079</v>
      </c>
      <c r="C28" t="s">
        <v>103</v>
      </c>
      <c r="D28" t="s">
        <v>127</v>
      </c>
      <c r="E28" t="s">
        <v>132</v>
      </c>
      <c r="F28" t="s">
        <v>133</v>
      </c>
      <c r="G28" t="s">
        <v>18</v>
      </c>
      <c r="H28" s="3">
        <v>5500</v>
      </c>
      <c r="I28" s="3">
        <v>1320</v>
      </c>
      <c r="J28" s="4">
        <f t="shared" si="0"/>
        <v>0.24</v>
      </c>
    </row>
    <row r="29" spans="2:10">
      <c r="B29" s="2">
        <v>45079</v>
      </c>
      <c r="C29" t="s">
        <v>104</v>
      </c>
      <c r="D29" t="s">
        <v>128</v>
      </c>
      <c r="E29" t="s">
        <v>132</v>
      </c>
      <c r="F29" t="s">
        <v>133</v>
      </c>
      <c r="G29" t="s">
        <v>18</v>
      </c>
      <c r="H29" s="3">
        <v>4625</v>
      </c>
      <c r="I29" s="3">
        <v>1001</v>
      </c>
      <c r="J29" s="4">
        <f t="shared" si="0"/>
        <v>0.21643243243243243</v>
      </c>
    </row>
    <row r="30" spans="2:10">
      <c r="B30" s="2">
        <v>45079</v>
      </c>
      <c r="C30" t="s">
        <v>105</v>
      </c>
      <c r="D30" t="s">
        <v>129</v>
      </c>
      <c r="E30" t="s">
        <v>132</v>
      </c>
      <c r="F30" t="s">
        <v>133</v>
      </c>
      <c r="G30" t="s">
        <v>18</v>
      </c>
      <c r="H30" s="3">
        <v>4500</v>
      </c>
      <c r="I30" s="3">
        <v>960</v>
      </c>
      <c r="J30" s="4">
        <f t="shared" si="0"/>
        <v>0.21333333333333335</v>
      </c>
    </row>
    <row r="31" spans="2:10">
      <c r="B31" s="2">
        <v>45079</v>
      </c>
      <c r="C31" t="s">
        <v>106</v>
      </c>
      <c r="D31" t="s">
        <v>78</v>
      </c>
      <c r="E31" t="s">
        <v>132</v>
      </c>
      <c r="F31" t="s">
        <v>133</v>
      </c>
      <c r="G31" t="s">
        <v>39</v>
      </c>
      <c r="H31" s="3">
        <v>5400</v>
      </c>
      <c r="I31" s="3">
        <v>540</v>
      </c>
      <c r="J31" s="4">
        <f t="shared" si="0"/>
        <v>0.1</v>
      </c>
    </row>
    <row r="32" spans="2:10">
      <c r="B32" s="2">
        <v>45076</v>
      </c>
      <c r="C32" t="s">
        <v>83</v>
      </c>
      <c r="D32" t="s">
        <v>110</v>
      </c>
      <c r="E32" t="s">
        <v>134</v>
      </c>
      <c r="F32" t="s">
        <v>135</v>
      </c>
      <c r="G32" t="s">
        <v>30</v>
      </c>
      <c r="H32" s="3">
        <v>5000</v>
      </c>
      <c r="I32" s="3">
        <v>684</v>
      </c>
      <c r="J32" s="4">
        <f t="shared" si="0"/>
        <v>0.1368</v>
      </c>
    </row>
    <row r="33" spans="10:10">
      <c r="J33" s="4"/>
    </row>
    <row r="34" spans="10:10">
      <c r="J34" s="4"/>
    </row>
    <row r="35" spans="10:10">
      <c r="J35" s="4"/>
    </row>
  </sheetData>
  <pageMargins left="0.75" right="0.75" top="1" bottom="1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3" master="" otherUserPermission="visible"/>
  <rangeList sheetStid="2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 Page</vt:lpstr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likithaa14525@gmail.com</cp:lastModifiedBy>
  <dcterms:created xsi:type="dcterms:W3CDTF">2023-05-29T07:26:00Z</dcterms:created>
  <dcterms:modified xsi:type="dcterms:W3CDTF">2026-05-18T12:31:39Z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DB4EC9D91B7D4BCA9EC69F8B69B24C83_13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